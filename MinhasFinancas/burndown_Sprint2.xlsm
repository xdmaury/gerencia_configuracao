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943" windowHeight="9887" activeTab="1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OFFSET(Atividades!$B$11,0,0,1,COUNT(Atividades!$B$11:$I$11))</definedName>
  </definedNames>
  <calcPr calcId="144525"/>
</workbook>
</file>

<file path=xl/sharedStrings.xml><?xml version="1.0" encoding="utf-8"?>
<sst xmlns="http://schemas.openxmlformats.org/spreadsheetml/2006/main" count="19">
  <si>
    <t>Total de pontos</t>
  </si>
  <si>
    <t>Dia 1</t>
  </si>
  <si>
    <t>Dia 2</t>
  </si>
  <si>
    <t>Dia 3</t>
  </si>
  <si>
    <t>Dia 4</t>
  </si>
  <si>
    <t>Dia 5</t>
  </si>
  <si>
    <t>Dia 6</t>
  </si>
  <si>
    <t>Dia 7</t>
  </si>
  <si>
    <t>Atividade 7 Sprint1</t>
  </si>
  <si>
    <t>Atividade 1</t>
  </si>
  <si>
    <t>Atividade 2</t>
  </si>
  <si>
    <t>Atividade 3</t>
  </si>
  <si>
    <t>Atividade 4</t>
  </si>
  <si>
    <t>Atividade 5</t>
  </si>
  <si>
    <t>Atividade 6</t>
  </si>
  <si>
    <t>Atividade 7</t>
  </si>
  <si>
    <t>Atividade 8</t>
  </si>
  <si>
    <t>Restante</t>
  </si>
  <si>
    <t>Estimado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</si>
</sst>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sz val="10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auto="1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6" fillId="6" borderId="9" applyNumberFormat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4" fillId="5" borderId="8" applyNumberFormat="0" applyFont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1" fillId="10" borderId="12" applyNumberFormat="0" applyAlignment="0" applyProtection="0">
      <alignment vertical="center"/>
    </xf>
    <xf numFmtId="0" fontId="18" fillId="23" borderId="14" applyNumberFormat="0" applyAlignment="0" applyProtection="0">
      <alignment vertical="center"/>
    </xf>
    <xf numFmtId="0" fontId="16" fillId="23" borderId="12" applyNumberFormat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0" fillId="0" borderId="0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0" fillId="0" borderId="0" xfId="0" applyFill="1" applyBorder="1"/>
    <xf numFmtId="0" fontId="1" fillId="0" borderId="7" xfId="0" applyFont="1" applyBorder="1"/>
    <xf numFmtId="0" fontId="0" fillId="0" borderId="7" xfId="0" applyBorder="1"/>
  </cellXfs>
  <cellStyles count="49">
    <cellStyle name="Normal" xfId="0" builtinId="0"/>
    <cellStyle name="Comma" xfId="1" builtinId="3"/>
    <cellStyle name="Comma [0]" xfId="2" builtinId="6"/>
    <cellStyle name="40% - Ênfase 4" xfId="3" builtinId="43"/>
    <cellStyle name="Porcentagem" xfId="4" builtinId="5"/>
    <cellStyle name="Célula Vinculada" xfId="5" builtinId="24"/>
    <cellStyle name="Célula de Verificação" xfId="6" builtinId="23"/>
    <cellStyle name="Moeda [0]" xfId="7" builtinId="7"/>
    <cellStyle name="20% - Ênfase 3" xfId="8" builtinId="38"/>
    <cellStyle name="Moeda" xfId="9" builtinId="4"/>
    <cellStyle name="Hyperlink seguido" xfId="10" builtinId="9"/>
    <cellStyle name="Hyperlink" xfId="11" builtinId="8"/>
    <cellStyle name="40% - Ênfase 2" xfId="12" builtinId="35"/>
    <cellStyle name="Observação" xfId="13" builtinId="10"/>
    <cellStyle name="40% - Ênfase 6" xfId="14" builtinId="51"/>
    <cellStyle name="Texto de Aviso" xfId="15" builtinId="11"/>
    <cellStyle name="Título" xfId="16" builtinId="15"/>
    <cellStyle name="Texto Explicativo" xfId="17" builtinId="53"/>
    <cellStyle name="Ênfase 3" xfId="18" builtinId="37"/>
    <cellStyle name="Título 1" xfId="19" builtinId="16"/>
    <cellStyle name="Ênfase 4" xfId="20" builtinId="41"/>
    <cellStyle name="Título 2" xfId="21" builtinId="17"/>
    <cellStyle name="Ênfase 5" xfId="22" builtinId="45"/>
    <cellStyle name="Título 3" xfId="23" builtinId="18"/>
    <cellStyle name="Ênfase 6" xfId="24" builtinId="49"/>
    <cellStyle name="Título 4" xfId="25" builtinId="19"/>
    <cellStyle name="Entrada" xfId="26" builtinId="20"/>
    <cellStyle name="Saída" xfId="27" builtinId="21"/>
    <cellStyle name="Cálculo" xfId="28" builtinId="22"/>
    <cellStyle name="Total" xfId="29" builtinId="25"/>
    <cellStyle name="40% - Ênfase 1" xfId="30" builtinId="31"/>
    <cellStyle name="Bom" xfId="31" builtinId="26"/>
    <cellStyle name="Ruim" xfId="32" builtinId="27"/>
    <cellStyle name="Neutro" xfId="33" builtinId="28"/>
    <cellStyle name="20% - Ênfase 5" xfId="34" builtinId="46"/>
    <cellStyle name="Ênfase 1" xfId="35" builtinId="29"/>
    <cellStyle name="20% - Ênfase 1" xfId="36" builtinId="30"/>
    <cellStyle name="60% - Ênfase 1" xfId="37" builtinId="32"/>
    <cellStyle name="20% - Ênfase 6" xfId="38" builtinId="50"/>
    <cellStyle name="Ênfase 2" xfId="39" builtinId="33"/>
    <cellStyle name="20% - Ênfase 2" xfId="40" builtinId="34"/>
    <cellStyle name="60% - Ênfase 2" xfId="41" builtinId="36"/>
    <cellStyle name="40% - Ênfase 3" xfId="42" builtinId="39"/>
    <cellStyle name="60% - Ênfase 3" xfId="43" builtinId="40"/>
    <cellStyle name="20% - Ênfase 4" xfId="44" builtinId="42"/>
    <cellStyle name="60% - Ênfase 4" xfId="45" builtinId="44"/>
    <cellStyle name="40% - Ênfase 5" xfId="46" builtinId="47"/>
    <cellStyle name="60% - Ênfase 5" xfId="47" builtinId="48"/>
    <cellStyle name="60% - Ênfase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155</c:v>
                </c:pt>
                <c:pt idx="1">
                  <c:v>132</c:v>
                </c:pt>
                <c:pt idx="2">
                  <c:v>122</c:v>
                </c:pt>
                <c:pt idx="3">
                  <c:v>94</c:v>
                </c:pt>
                <c:pt idx="4">
                  <c:v>93</c:v>
                </c:pt>
                <c:pt idx="5">
                  <c:v>92</c:v>
                </c:pt>
                <c:pt idx="6">
                  <c:v>37</c:v>
                </c:pt>
                <c:pt idx="7">
                  <c:v>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Atividades!$B$12:$I$12</c:f>
              <c:numCache>
                <c:formatCode>General</c:formatCode>
                <c:ptCount val="8"/>
                <c:pt idx="0">
                  <c:v>155</c:v>
                </c:pt>
                <c:pt idx="1">
                  <c:v>132.857142857143</c:v>
                </c:pt>
                <c:pt idx="2">
                  <c:v>110.714285714286</c:v>
                </c:pt>
                <c:pt idx="3">
                  <c:v>88.5714285714286</c:v>
                </c:pt>
                <c:pt idx="4">
                  <c:v>66.4285714285714</c:v>
                </c:pt>
                <c:pt idx="5">
                  <c:v>44.2857142857143</c:v>
                </c:pt>
                <c:pt idx="6">
                  <c:v>22.1428571428572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161406768"/>
        <c:axId val="161407328"/>
      </c:lineChart>
      <c:catAx>
        <c:axId val="1614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7328"/>
        <c:crosses val="autoZero"/>
        <c:auto val="1"/>
        <c:lblAlgn val="ctr"/>
        <c:lblOffset val="100"/>
        <c:noMultiLvlLbl val="0"/>
      </c:catAx>
      <c:valAx>
        <c:axId val="16140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155</c:v>
                </c:pt>
                <c:pt idx="1">
                  <c:v>132</c:v>
                </c:pt>
                <c:pt idx="2">
                  <c:v>122</c:v>
                </c:pt>
                <c:pt idx="3">
                  <c:v>94</c:v>
                </c:pt>
                <c:pt idx="4">
                  <c:v>93</c:v>
                </c:pt>
                <c:pt idx="5">
                  <c:v>92</c:v>
                </c:pt>
                <c:pt idx="6">
                  <c:v>37</c:v>
                </c:pt>
                <c:pt idx="7">
                  <c:v>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Atividades!$B$12:$I$12</c:f>
              <c:numCache>
                <c:formatCode>General</c:formatCode>
                <c:ptCount val="8"/>
                <c:pt idx="0">
                  <c:v>155</c:v>
                </c:pt>
                <c:pt idx="1">
                  <c:v>132.857142857143</c:v>
                </c:pt>
                <c:pt idx="2">
                  <c:v>110.714285714286</c:v>
                </c:pt>
                <c:pt idx="3">
                  <c:v>88.5714285714286</c:v>
                </c:pt>
                <c:pt idx="4">
                  <c:v>66.4285714285714</c:v>
                </c:pt>
                <c:pt idx="5">
                  <c:v>44.2857142857143</c:v>
                </c:pt>
                <c:pt idx="6">
                  <c:v>22.1428571428572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0688"/>
        <c:axId val="161411248"/>
      </c:lineChart>
      <c:catAx>
        <c:axId val="16141068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1248"/>
        <c:crosses val="autoZero"/>
        <c:auto val="1"/>
        <c:lblAlgn val="ctr"/>
        <c:lblOffset val="100"/>
        <c:noMultiLvlLbl val="0"/>
      </c:catAx>
      <c:valAx>
        <c:axId val="161411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155</c:v>
                </c:pt>
                <c:pt idx="1">
                  <c:v>132</c:v>
                </c:pt>
                <c:pt idx="2">
                  <c:v>122</c:v>
                </c:pt>
                <c:pt idx="3">
                  <c:v>94</c:v>
                </c:pt>
                <c:pt idx="4">
                  <c:v>93</c:v>
                </c:pt>
                <c:pt idx="5">
                  <c:v>92</c:v>
                </c:pt>
                <c:pt idx="6">
                  <c:v>37</c:v>
                </c:pt>
                <c:pt idx="7">
                  <c:v>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Atividades!$B$12:$I$12</c:f>
              <c:numCache>
                <c:formatCode>General</c:formatCode>
                <c:ptCount val="8"/>
                <c:pt idx="0">
                  <c:v>155</c:v>
                </c:pt>
                <c:pt idx="1">
                  <c:v>132.857142857143</c:v>
                </c:pt>
                <c:pt idx="2">
                  <c:v>110.714285714286</c:v>
                </c:pt>
                <c:pt idx="3">
                  <c:v>88.5714285714286</c:v>
                </c:pt>
                <c:pt idx="4">
                  <c:v>66.4285714285714</c:v>
                </c:pt>
                <c:pt idx="5">
                  <c:v>44.2857142857143</c:v>
                </c:pt>
                <c:pt idx="6">
                  <c:v>22.1428571428572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4608"/>
        <c:axId val="160005392"/>
      </c:lineChart>
      <c:catAx>
        <c:axId val="161414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0005392"/>
        <c:crosses val="autoZero"/>
        <c:auto val="1"/>
        <c:lblAlgn val="ctr"/>
        <c:lblOffset val="100"/>
        <c:noMultiLvlLbl val="0"/>
      </c:catAx>
      <c:valAx>
        <c:axId val="16000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419099</xdr:colOff>
      <xdr:row>12</xdr:row>
      <xdr:rowOff>47625</xdr:rowOff>
    </xdr:to>
    <xdr:graphicFrame>
      <xdr:nvGraphicFramePr>
        <xdr:cNvPr id="3" name="Gráfico 2"/>
        <xdr:cNvGraphicFramePr/>
      </xdr:nvGraphicFramePr>
      <xdr:xfrm>
        <a:off x="8025130" y="9525"/>
        <a:ext cx="4045585" cy="22326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4"/>
  <sheetViews>
    <sheetView showGridLines="0" workbookViewId="0">
      <selection activeCell="I20" sqref="I20"/>
    </sheetView>
  </sheetViews>
  <sheetFormatPr defaultColWidth="9" defaultRowHeight="14.4"/>
  <cols>
    <col min="1" max="1" width="16.8888888888889" customWidth="1"/>
    <col min="2" max="2" width="13.5740740740741" customWidth="1"/>
    <col min="3" max="3" width="12.8888888888889"/>
    <col min="4" max="4" width="12" customWidth="1"/>
    <col min="5" max="8" width="12.8888888888889"/>
  </cols>
  <sheetData>
    <row r="1" spans="2:9"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3" t="s">
        <v>8</v>
      </c>
      <c r="B2" s="4">
        <v>10</v>
      </c>
      <c r="C2" s="5">
        <v>10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</row>
    <row r="3" spans="1:9">
      <c r="A3" s="6" t="s">
        <v>9</v>
      </c>
      <c r="B3" s="4">
        <v>13</v>
      </c>
      <c r="C3" s="5">
        <v>13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</row>
    <row r="4" spans="1:9">
      <c r="A4" s="6" t="s">
        <v>10</v>
      </c>
      <c r="B4" s="4">
        <v>10</v>
      </c>
      <c r="C4" s="7">
        <v>0</v>
      </c>
      <c r="D4" s="7">
        <v>10</v>
      </c>
      <c r="E4" s="7">
        <v>0</v>
      </c>
      <c r="F4" s="7">
        <v>0</v>
      </c>
      <c r="G4" s="7">
        <v>0</v>
      </c>
      <c r="H4" s="7">
        <v>0</v>
      </c>
      <c r="I4" s="7">
        <v>0</v>
      </c>
    </row>
    <row r="5" spans="1:9">
      <c r="A5" s="6" t="s">
        <v>11</v>
      </c>
      <c r="B5" s="4">
        <v>54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54</v>
      </c>
      <c r="I5" s="7">
        <v>0</v>
      </c>
    </row>
    <row r="6" spans="1:9">
      <c r="A6" s="6" t="s">
        <v>12</v>
      </c>
      <c r="B6" s="8">
        <v>7</v>
      </c>
      <c r="C6" s="7">
        <v>0</v>
      </c>
      <c r="D6" s="7">
        <v>0</v>
      </c>
      <c r="E6" s="7">
        <v>7</v>
      </c>
      <c r="F6" s="7">
        <v>0</v>
      </c>
      <c r="G6" s="7">
        <v>0</v>
      </c>
      <c r="H6" s="7">
        <v>0</v>
      </c>
      <c r="I6" s="7">
        <v>0</v>
      </c>
    </row>
    <row r="7" spans="1:9">
      <c r="A7" s="6" t="s">
        <v>13</v>
      </c>
      <c r="B7" s="8">
        <v>7</v>
      </c>
      <c r="C7" s="7">
        <v>0</v>
      </c>
      <c r="D7" s="7">
        <v>0</v>
      </c>
      <c r="E7" s="7">
        <v>7</v>
      </c>
      <c r="F7" s="7">
        <v>0</v>
      </c>
      <c r="G7" s="7">
        <v>0</v>
      </c>
      <c r="H7" s="7">
        <v>0</v>
      </c>
      <c r="I7" s="7">
        <v>0</v>
      </c>
    </row>
    <row r="8" spans="1:9">
      <c r="A8" s="6" t="s">
        <v>14</v>
      </c>
      <c r="B8" s="8">
        <v>7</v>
      </c>
      <c r="C8" s="7">
        <v>0</v>
      </c>
      <c r="D8" s="7">
        <v>0</v>
      </c>
      <c r="E8" s="7">
        <v>7</v>
      </c>
      <c r="F8" s="7">
        <v>0</v>
      </c>
      <c r="G8" s="7">
        <v>0</v>
      </c>
      <c r="H8" s="7">
        <v>0</v>
      </c>
      <c r="I8" s="7">
        <v>0</v>
      </c>
    </row>
    <row r="9" spans="1:9">
      <c r="A9" s="6" t="s">
        <v>15</v>
      </c>
      <c r="B9" s="8">
        <v>7</v>
      </c>
      <c r="C9" s="7">
        <v>0</v>
      </c>
      <c r="D9" s="7">
        <v>0</v>
      </c>
      <c r="E9" s="7">
        <v>7</v>
      </c>
      <c r="F9" s="7">
        <v>0</v>
      </c>
      <c r="G9" s="7">
        <v>0</v>
      </c>
      <c r="H9" s="7">
        <v>0</v>
      </c>
      <c r="I9" s="7">
        <v>0</v>
      </c>
    </row>
    <row r="10" spans="1:9">
      <c r="A10" s="6" t="s">
        <v>16</v>
      </c>
      <c r="B10" s="8">
        <v>40</v>
      </c>
      <c r="C10" s="7">
        <v>0</v>
      </c>
      <c r="D10" s="7">
        <v>0</v>
      </c>
      <c r="E10" s="7">
        <v>0</v>
      </c>
      <c r="F10" s="7">
        <v>1</v>
      </c>
      <c r="G10" s="7">
        <v>1</v>
      </c>
      <c r="H10" s="7">
        <v>1</v>
      </c>
      <c r="I10" s="7">
        <v>1</v>
      </c>
    </row>
    <row r="11" spans="1:9">
      <c r="A11" s="9" t="s">
        <v>17</v>
      </c>
      <c r="B11" s="10">
        <f>SUM($B$2:$B$10)</f>
        <v>155</v>
      </c>
      <c r="C11" s="10">
        <f t="shared" ref="C11:I11" si="0">IF(SUM(C2:C10)&gt;0,B11-SUM(C2:C10),"")</f>
        <v>132</v>
      </c>
      <c r="D11" s="10">
        <f t="shared" si="0"/>
        <v>122</v>
      </c>
      <c r="E11" s="10">
        <f t="shared" si="0"/>
        <v>94</v>
      </c>
      <c r="F11" s="10">
        <f t="shared" si="0"/>
        <v>93</v>
      </c>
      <c r="G11" s="10">
        <f t="shared" si="0"/>
        <v>92</v>
      </c>
      <c r="H11" s="10">
        <f t="shared" si="0"/>
        <v>37</v>
      </c>
      <c r="I11" s="10">
        <f t="shared" si="0"/>
        <v>36</v>
      </c>
    </row>
    <row r="12" spans="1:9">
      <c r="A12" s="9" t="s">
        <v>18</v>
      </c>
      <c r="B12" s="10">
        <f>SUM($B$2:$B$10)</f>
        <v>155</v>
      </c>
      <c r="C12" s="10">
        <f t="shared" ref="C12:I12" si="1">B12-($B$12/COUNTA($C$1:$I$1))</f>
        <v>132.857142857143</v>
      </c>
      <c r="D12" s="10">
        <f t="shared" si="1"/>
        <v>110.714285714286</v>
      </c>
      <c r="E12" s="10">
        <f t="shared" si="1"/>
        <v>88.5714285714286</v>
      </c>
      <c r="F12" s="10">
        <f t="shared" si="1"/>
        <v>66.4285714285714</v>
      </c>
      <c r="G12" s="10">
        <f t="shared" si="1"/>
        <v>44.2857142857143</v>
      </c>
      <c r="H12" s="10">
        <f t="shared" si="1"/>
        <v>22.1428571428572</v>
      </c>
      <c r="I12" s="10">
        <f t="shared" si="1"/>
        <v>0</v>
      </c>
    </row>
    <row r="14" spans="4:4">
      <c r="D14">
        <f ca="1">OFFSET($C$11:C11,0,COUNTA(D11:I11),1,1)</f>
        <v>36</v>
      </c>
    </row>
  </sheetData>
  <pageMargins left="0.511805555555556" right="0.511805555555556" top="0.786805555555556" bottom="0.786805555555556" header="0.313888888888889" footer="0.313888888888889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tabSelected="1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Bruno</cp:lastModifiedBy>
  <dcterms:created xsi:type="dcterms:W3CDTF">2016-06-19T15:11:00Z</dcterms:created>
  <cp:lastPrinted>2016-06-19T15:56:00Z</cp:lastPrinted>
  <dcterms:modified xsi:type="dcterms:W3CDTF">2018-06-14T23:00:48Z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1046-10.2.0.6020</vt:lpwstr>
  </property>
</Properties>
</file>