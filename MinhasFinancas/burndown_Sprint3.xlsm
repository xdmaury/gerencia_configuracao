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olors1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style1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943" windowHeight="9887"/>
  </bookViews>
  <sheets>
    <sheet name="Atividades" sheetId="1" r:id="rId1"/>
    <sheet name="Burndown impressão color" sheetId="2" r:id="rId2"/>
    <sheet name="Burndown impressão pb" sheetId="3" r:id="rId3"/>
  </sheets>
  <definedNames>
    <definedName name="Restante">OFFSET(Atividades!$B$11,0,0,1,COUNT(Atividades!$B$11:$I$11))</definedName>
  </definedNames>
  <calcPr calcId="144525"/>
</workbook>
</file>

<file path=xl/sharedStrings.xml><?xml version="1.0" encoding="utf-8"?>
<sst xmlns="http://schemas.openxmlformats.org/spreadsheetml/2006/main" count="19">
  <si>
    <t>Total de pontos</t>
  </si>
  <si>
    <t>Dia 1</t>
  </si>
  <si>
    <t>Dia 2</t>
  </si>
  <si>
    <t>Dia 3</t>
  </si>
  <si>
    <t>Dia 4</t>
  </si>
  <si>
    <t>Dia 5</t>
  </si>
  <si>
    <t>Dia 6</t>
  </si>
  <si>
    <t>Dia 7</t>
  </si>
  <si>
    <t>Atividade 8 Sprint2</t>
  </si>
  <si>
    <t>Atividade 1</t>
  </si>
  <si>
    <t>Atividade 2</t>
  </si>
  <si>
    <t>Atividade 3</t>
  </si>
  <si>
    <t>Atividade 4</t>
  </si>
  <si>
    <t>Atividade 5</t>
  </si>
  <si>
    <t>Atividade 6</t>
  </si>
  <si>
    <t>Atividade 7</t>
  </si>
  <si>
    <t>Atividade 8</t>
  </si>
  <si>
    <t>Restante</t>
  </si>
  <si>
    <t>Estimado</t>
  </si>
</sst>
</file>

<file path=xl/styles.xml><?xml version="1.0" encoding="utf-8"?>
<styleSheet xmlns="http://schemas.openxmlformats.org/spreadsheetml/2006/main">
  <numFmts count="4">
    <numFmt numFmtId="44" formatCode="_(&quot;$&quot;* #,##0.00_);_(&quot;$&quot;* \(#,##0.00\);_(&quot;$&quot;* &quot;-&quot;??_);_(@_)"/>
    <numFmt numFmtId="176" formatCode="_ * #,##0_ ;_ * \-#,##0_ ;_ * &quot;-&quot;_ ;_ @_ "/>
    <numFmt numFmtId="42" formatCode="_(&quot;$&quot;* #,##0_);_(&quot;$&quot;* \(#,##0\);_(&quot;$&quot;* &quot;-&quot;_);_(@_)"/>
    <numFmt numFmtId="177" formatCode="_ * #,##0.00_ ;_ * \-#,##0.00_ ;_ * &quot;-&quot;??_ ;_ @_ "/>
  </numFmts>
  <fonts count="22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0"/>
      <color theme="1"/>
      <name val="Calibri"/>
      <charset val="134"/>
      <scheme val="minor"/>
    </font>
    <font>
      <sz val="11"/>
      <color theme="1"/>
      <name val="Calibri"/>
      <charset val="0"/>
      <scheme val="minor"/>
    </font>
    <font>
      <sz val="11"/>
      <color theme="0"/>
      <name val="Calibri"/>
      <charset val="0"/>
      <scheme val="minor"/>
    </font>
    <font>
      <b/>
      <sz val="18"/>
      <color theme="3"/>
      <name val="Calibri"/>
      <charset val="134"/>
      <scheme val="minor"/>
    </font>
    <font>
      <u/>
      <sz val="11"/>
      <color rgb="FF0000FF"/>
      <name val="Calibri"/>
      <charset val="0"/>
      <scheme val="minor"/>
    </font>
    <font>
      <sz val="11"/>
      <color rgb="FF9C0006"/>
      <name val="Calibri"/>
      <charset val="0"/>
      <scheme val="minor"/>
    </font>
    <font>
      <i/>
      <sz val="11"/>
      <color rgb="FF7F7F7F"/>
      <name val="Calibri"/>
      <charset val="0"/>
      <scheme val="minor"/>
    </font>
    <font>
      <sz val="11"/>
      <color rgb="FFFF0000"/>
      <name val="Calibri"/>
      <charset val="0"/>
      <scheme val="minor"/>
    </font>
    <font>
      <b/>
      <sz val="11"/>
      <color rgb="FF3F3F3F"/>
      <name val="Calibri"/>
      <charset val="0"/>
      <scheme val="minor"/>
    </font>
    <font>
      <b/>
      <sz val="11"/>
      <color rgb="FFFFFFFF"/>
      <name val="Calibri"/>
      <charset val="0"/>
      <scheme val="minor"/>
    </font>
    <font>
      <sz val="11"/>
      <color rgb="FF006100"/>
      <name val="Calibri"/>
      <charset val="0"/>
      <scheme val="minor"/>
    </font>
    <font>
      <sz val="11"/>
      <color rgb="FF3F3F76"/>
      <name val="Calibri"/>
      <charset val="0"/>
      <scheme val="minor"/>
    </font>
    <font>
      <u/>
      <sz val="11"/>
      <color rgb="FF800080"/>
      <name val="Calibri"/>
      <charset val="0"/>
      <scheme val="minor"/>
    </font>
    <font>
      <sz val="11"/>
      <color rgb="FFFA7D00"/>
      <name val="Calibri"/>
      <charset val="0"/>
      <scheme val="minor"/>
    </font>
    <font>
      <b/>
      <sz val="11"/>
      <color theme="3"/>
      <name val="Calibri"/>
      <charset val="134"/>
      <scheme val="minor"/>
    </font>
    <font>
      <sz val="11"/>
      <color rgb="FF9C6500"/>
      <name val="Calibri"/>
      <charset val="0"/>
      <scheme val="minor"/>
    </font>
    <font>
      <b/>
      <sz val="13"/>
      <color theme="3"/>
      <name val="Calibri"/>
      <charset val="134"/>
      <scheme val="minor"/>
    </font>
    <font>
      <b/>
      <sz val="15"/>
      <color theme="3"/>
      <name val="Calibri"/>
      <charset val="134"/>
      <scheme val="minor"/>
    </font>
    <font>
      <b/>
      <sz val="11"/>
      <color theme="1"/>
      <name val="Calibri"/>
      <charset val="0"/>
      <scheme val="minor"/>
    </font>
    <font>
      <b/>
      <sz val="11"/>
      <color rgb="FFFA7D00"/>
      <name val="Calibri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8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4" tint="0.399975585192419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auto="1"/>
      </top>
      <bottom style="thin">
        <color theme="0" tint="-0.349986266670736"/>
      </bottom>
      <diagonal/>
    </border>
    <border>
      <left style="thin">
        <color auto="1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theme="0" tint="-0.349986266670736"/>
      </left>
      <right style="thin">
        <color theme="0" tint="-0.349986266670736"/>
      </right>
      <top style="thin">
        <color theme="0" tint="-0.349986266670736"/>
      </top>
      <bottom style="thin">
        <color theme="0" tint="-0.34998626667073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177" fontId="2" fillId="0" borderId="0" applyFont="0" applyFill="0" applyBorder="0" applyAlignment="0" applyProtection="0">
      <alignment vertical="center"/>
    </xf>
    <xf numFmtId="176" fontId="2" fillId="0" borderId="0" applyFont="0" applyFill="0" applyBorder="0" applyAlignment="0" applyProtection="0">
      <alignment vertical="center"/>
    </xf>
    <xf numFmtId="0" fontId="3" fillId="22" borderId="0" applyNumberFormat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15" fillId="0" borderId="11" applyNumberFormat="0" applyFill="0" applyAlignment="0" applyProtection="0">
      <alignment vertical="center"/>
    </xf>
    <xf numFmtId="0" fontId="11" fillId="14" borderId="9" applyNumberFormat="0" applyAlignment="0" applyProtection="0">
      <alignment vertical="center"/>
    </xf>
    <xf numFmtId="42" fontId="2" fillId="0" borderId="0" applyFont="0" applyFill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44" fontId="2" fillId="0" borderId="0" applyFon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3" fillId="30" borderId="0" applyNumberFormat="0" applyBorder="0" applyAlignment="0" applyProtection="0">
      <alignment vertical="center"/>
    </xf>
    <xf numFmtId="0" fontId="2" fillId="27" borderId="14" applyNumberFormat="0" applyFont="0" applyAlignment="0" applyProtection="0">
      <alignment vertical="center"/>
    </xf>
    <xf numFmtId="0" fontId="3" fillId="18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18" fillId="0" borderId="13" applyNumberFormat="0" applyFill="0" applyAlignment="0" applyProtection="0">
      <alignment vertical="center"/>
    </xf>
    <xf numFmtId="0" fontId="4" fillId="26" borderId="0" applyNumberFormat="0" applyBorder="0" applyAlignment="0" applyProtection="0">
      <alignment vertical="center"/>
    </xf>
    <xf numFmtId="0" fontId="16" fillId="0" borderId="12" applyNumberFormat="0" applyFill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3" fillId="17" borderId="10" applyNumberFormat="0" applyAlignment="0" applyProtection="0">
      <alignment vertical="center"/>
    </xf>
    <xf numFmtId="0" fontId="10" fillId="13" borderId="8" applyNumberFormat="0" applyAlignment="0" applyProtection="0">
      <alignment vertical="center"/>
    </xf>
    <xf numFmtId="0" fontId="21" fillId="13" borderId="10" applyNumberFormat="0" applyAlignment="0" applyProtection="0">
      <alignment vertical="center"/>
    </xf>
    <xf numFmtId="0" fontId="20" fillId="0" borderId="15" applyNumberFormat="0" applyFill="0" applyAlignment="0" applyProtection="0">
      <alignment vertical="center"/>
    </xf>
    <xf numFmtId="0" fontId="3" fillId="25" borderId="0" applyNumberFormat="0" applyBorder="0" applyAlignment="0" applyProtection="0">
      <alignment vertical="center"/>
    </xf>
    <xf numFmtId="0" fontId="12" fillId="16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3" fillId="23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4" fillId="32" borderId="0" applyNumberFormat="0" applyBorder="0" applyAlignment="0" applyProtection="0">
      <alignment vertical="center"/>
    </xf>
    <xf numFmtId="0" fontId="3" fillId="21" borderId="0" applyNumberFormat="0" applyBorder="0" applyAlignment="0" applyProtection="0">
      <alignment vertical="center"/>
    </xf>
    <xf numFmtId="0" fontId="4" fillId="3" borderId="0" applyNumberFormat="0" applyBorder="0" applyAlignment="0" applyProtection="0">
      <alignment vertical="center"/>
    </xf>
    <xf numFmtId="0" fontId="3" fillId="20" borderId="0" applyNumberFormat="0" applyBorder="0" applyAlignment="0" applyProtection="0">
      <alignment vertical="center"/>
    </xf>
    <xf numFmtId="0" fontId="4" fillId="29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3" fillId="28" borderId="0" applyNumberFormat="0" applyBorder="0" applyAlignment="0" applyProtection="0">
      <alignment vertical="center"/>
    </xf>
    <xf numFmtId="0" fontId="4" fillId="11" borderId="0" applyNumberFormat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31" borderId="0" applyNumberFormat="0" applyBorder="0" applyAlignment="0" applyProtection="0">
      <alignment vertical="center"/>
    </xf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1" fillId="0" borderId="3" xfId="0" applyFont="1" applyBorder="1"/>
    <xf numFmtId="0" fontId="0" fillId="0" borderId="0" xfId="0" applyBorder="1"/>
    <xf numFmtId="0" fontId="0" fillId="0" borderId="4" xfId="0" applyBorder="1"/>
    <xf numFmtId="0" fontId="1" fillId="0" borderId="5" xfId="0" applyFont="1" applyBorder="1"/>
    <xf numFmtId="0" fontId="0" fillId="0" borderId="6" xfId="0" applyBorder="1"/>
    <xf numFmtId="0" fontId="0" fillId="0" borderId="0" xfId="0" applyFill="1" applyBorder="1"/>
    <xf numFmtId="0" fontId="1" fillId="0" borderId="7" xfId="0" applyFont="1" applyBorder="1"/>
    <xf numFmtId="0" fontId="0" fillId="0" borderId="7" xfId="0" applyBorder="1"/>
  </cellXfs>
  <cellStyles count="49">
    <cellStyle name="Normal" xfId="0" builtinId="0"/>
    <cellStyle name="Comma" xfId="1" builtinId="3"/>
    <cellStyle name="Comma [0]" xfId="2" builtinId="6"/>
    <cellStyle name="40% - Ênfase 4" xfId="3" builtinId="43"/>
    <cellStyle name="Porcentagem" xfId="4" builtinId="5"/>
    <cellStyle name="Célula Vinculada" xfId="5" builtinId="24"/>
    <cellStyle name="Célula de Verificação" xfId="6" builtinId="23"/>
    <cellStyle name="Moeda [0]" xfId="7" builtinId="7"/>
    <cellStyle name="20% - Ênfase 3" xfId="8" builtinId="38"/>
    <cellStyle name="Moeda" xfId="9" builtinId="4"/>
    <cellStyle name="Hyperlink seguido" xfId="10" builtinId="9"/>
    <cellStyle name="Hyperlink" xfId="11" builtinId="8"/>
    <cellStyle name="40% - Ênfase 2" xfId="12" builtinId="35"/>
    <cellStyle name="Observação" xfId="13" builtinId="10"/>
    <cellStyle name="40% - Ênfase 6" xfId="14" builtinId="51"/>
    <cellStyle name="Texto de Aviso" xfId="15" builtinId="11"/>
    <cellStyle name="Título" xfId="16" builtinId="15"/>
    <cellStyle name="Texto Explicativo" xfId="17" builtinId="53"/>
    <cellStyle name="Ênfase 3" xfId="18" builtinId="37"/>
    <cellStyle name="Título 1" xfId="19" builtinId="16"/>
    <cellStyle name="Ênfase 4" xfId="20" builtinId="41"/>
    <cellStyle name="Título 2" xfId="21" builtinId="17"/>
    <cellStyle name="Ênfase 5" xfId="22" builtinId="45"/>
    <cellStyle name="Título 3" xfId="23" builtinId="18"/>
    <cellStyle name="Ênfase 6" xfId="24" builtinId="49"/>
    <cellStyle name="Título 4" xfId="25" builtinId="19"/>
    <cellStyle name="Entrada" xfId="26" builtinId="20"/>
    <cellStyle name="Saída" xfId="27" builtinId="21"/>
    <cellStyle name="Cálculo" xfId="28" builtinId="22"/>
    <cellStyle name="Total" xfId="29" builtinId="25"/>
    <cellStyle name="40% - Ênfase 1" xfId="30" builtinId="31"/>
    <cellStyle name="Bom" xfId="31" builtinId="26"/>
    <cellStyle name="Ruim" xfId="32" builtinId="27"/>
    <cellStyle name="Neutro" xfId="33" builtinId="28"/>
    <cellStyle name="20% - Ênfase 5" xfId="34" builtinId="46"/>
    <cellStyle name="Ênfase 1" xfId="35" builtinId="29"/>
    <cellStyle name="20% - Ênfase 1" xfId="36" builtinId="30"/>
    <cellStyle name="60% - Ênfase 1" xfId="37" builtinId="32"/>
    <cellStyle name="20% - Ênfase 6" xfId="38" builtinId="50"/>
    <cellStyle name="Ênfase 2" xfId="39" builtinId="33"/>
    <cellStyle name="20% - Ênfase 2" xfId="40" builtinId="34"/>
    <cellStyle name="60% - Ênfase 2" xfId="41" builtinId="36"/>
    <cellStyle name="40% - Ênfase 3" xfId="42" builtinId="39"/>
    <cellStyle name="60% - Ênfase 3" xfId="43" builtinId="40"/>
    <cellStyle name="20% - Ênfase 4" xfId="44" builtinId="42"/>
    <cellStyle name="60% - Ênfase 4" xfId="45" builtinId="44"/>
    <cellStyle name="40% - Ênfase 5" xfId="46" builtinId="47"/>
    <cellStyle name="60% - Ênfase 5" xfId="47" builtinId="48"/>
    <cellStyle name="60% - Ênfase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Burndown Chart</a:t>
            </a: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3"/>
                <c:pt idx="0">
                  <c:v>202.5</c:v>
                </c:pt>
                <c:pt idx="1">
                  <c:v>196.5</c:v>
                </c:pt>
                <c:pt idx="2">
                  <c:v>196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4925" cap="rnd">
              <a:solidFill>
                <a:schemeClr val="accent2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none"/>
          </c:marker>
          <c:dLbls>
            <c:delete val="1"/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202.5</c:v>
                </c:pt>
                <c:pt idx="1">
                  <c:v>173.571428571429</c:v>
                </c:pt>
                <c:pt idx="2">
                  <c:v>144.642857142857</c:v>
                </c:pt>
                <c:pt idx="3">
                  <c:v>115.714285714286</c:v>
                </c:pt>
                <c:pt idx="4">
                  <c:v>86.7857142857143</c:v>
                </c:pt>
                <c:pt idx="5">
                  <c:v>57.8571428571429</c:v>
                </c:pt>
                <c:pt idx="6">
                  <c:v>28.9285714285714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0"/>
        <c:smooth val="0"/>
        <c:axId val="161406768"/>
        <c:axId val="161407328"/>
      </c:lineChart>
      <c:catAx>
        <c:axId val="161406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7328"/>
        <c:crosses val="autoZero"/>
        <c:auto val="1"/>
        <c:lblAlgn val="ctr"/>
        <c:lblOffset val="100"/>
        <c:noMultiLvlLbl val="0"/>
      </c:catAx>
      <c:valAx>
        <c:axId val="161407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067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accent1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1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3"/>
                <c:pt idx="0">
                  <c:v>202.5</c:v>
                </c:pt>
                <c:pt idx="1">
                  <c:v>196.5</c:v>
                </c:pt>
                <c:pt idx="2">
                  <c:v>196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accent2">
                  <a:shade val="95000"/>
                  <a:satMod val="105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202.5</c:v>
                </c:pt>
                <c:pt idx="1">
                  <c:v>173.571428571429</c:v>
                </c:pt>
                <c:pt idx="2">
                  <c:v>144.642857142857</c:v>
                </c:pt>
                <c:pt idx="3">
                  <c:v>115.714285714286</c:v>
                </c:pt>
                <c:pt idx="4">
                  <c:v>86.7857142857143</c:v>
                </c:pt>
                <c:pt idx="5">
                  <c:v>57.8571428571429</c:v>
                </c:pt>
                <c:pt idx="6">
                  <c:v>28.9285714285714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0688"/>
        <c:axId val="161411248"/>
      </c:lineChart>
      <c:catAx>
        <c:axId val="16141068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1248"/>
        <c:crosses val="autoZero"/>
        <c:auto val="1"/>
        <c:lblAlgn val="ctr"/>
        <c:lblOffset val="100"/>
        <c:noMultiLvlLbl val="0"/>
      </c:catAx>
      <c:valAx>
        <c:axId val="16141124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068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pt-BR" sz="1440" b="1" i="0" u="none" strike="noStrike" kern="1200" cap="all" spc="0" baseline="0">
                <a:gradFill>
                  <a:gsLst>
                    <a:gs pos="0">
                      <a:schemeClr val="dk1">
                        <a:lumMod val="50000"/>
                        <a:lumOff val="50000"/>
                      </a:schemeClr>
                    </a:gs>
                    <a:gs pos="100000">
                      <a:schemeClr val="dk1">
                        <a:lumMod val="85000"/>
                        <a:lumOff val="15000"/>
                      </a:schemeClr>
                    </a:gs>
                  </a:gsLst>
                  <a:lin ang="5400000" scaled="0"/>
                </a:gradFill>
                <a:latin typeface="+mn-lt"/>
                <a:ea typeface="+mn-ea"/>
                <a:cs typeface="+mn-cs"/>
              </a:defRPr>
            </a:pPr>
            <a:r>
              <a:rPr lang="en-US" b="1"/>
              <a:t>Gráfico Burndown</a:t>
            </a:r>
            <a:endParaRPr lang="en-US" b="1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Atividades!$A$11</c:f>
              <c:strCache>
                <c:ptCount val="1"/>
                <c:pt idx="0">
                  <c:v>Restante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[0]!Restante</c:f>
              <c:numCache>
                <c:formatCode>General</c:formatCode>
                <c:ptCount val="3"/>
                <c:pt idx="0">
                  <c:v>202.5</c:v>
                </c:pt>
                <c:pt idx="1">
                  <c:v>196.5</c:v>
                </c:pt>
                <c:pt idx="2">
                  <c:v>196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Atividades!$A$12</c:f>
              <c:strCache>
                <c:ptCount val="1"/>
                <c:pt idx="0">
                  <c:v>Estimado</c:v>
                </c:pt>
              </c:strCache>
            </c:strRef>
          </c:tx>
          <c:spPr>
            <a:ln w="31750" cap="rnd" cmpd="sng" algn="ctr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circle"/>
            <c:size val="17"/>
            <c:spPr>
              <a:solidFill>
                <a:schemeClr val="l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pt-BR" sz="9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Atividades!$B$1:$I$1</c:f>
              <c:strCache>
                <c:ptCount val="8"/>
                <c:pt idx="0">
                  <c:v>Total de pontos</c:v>
                </c:pt>
                <c:pt idx="1">
                  <c:v>Dia 1</c:v>
                </c:pt>
                <c:pt idx="2">
                  <c:v>Dia 2</c:v>
                </c:pt>
                <c:pt idx="3">
                  <c:v>Dia 3</c:v>
                </c:pt>
                <c:pt idx="4">
                  <c:v>Dia 4</c:v>
                </c:pt>
                <c:pt idx="5">
                  <c:v>Dia 5</c:v>
                </c:pt>
                <c:pt idx="6">
                  <c:v>Dia 6</c:v>
                </c:pt>
                <c:pt idx="7">
                  <c:v>Dia 7</c:v>
                </c:pt>
              </c:strCache>
            </c:strRef>
          </c:cat>
          <c:val>
            <c:numRef>
              <c:f>Atividades!$B$12:$I$12</c:f>
              <c:numCache>
                <c:formatCode>General</c:formatCode>
                <c:ptCount val="8"/>
                <c:pt idx="0">
                  <c:v>202.5</c:v>
                </c:pt>
                <c:pt idx="1">
                  <c:v>173.571428571429</c:v>
                </c:pt>
                <c:pt idx="2">
                  <c:v>144.642857142857</c:v>
                </c:pt>
                <c:pt idx="3">
                  <c:v>115.714285714286</c:v>
                </c:pt>
                <c:pt idx="4">
                  <c:v>86.7857142857143</c:v>
                </c:pt>
                <c:pt idx="5">
                  <c:v>57.8571428571429</c:v>
                </c:pt>
                <c:pt idx="6">
                  <c:v>28.9285714285714</c:v>
                </c:pt>
                <c:pt idx="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1414608"/>
        <c:axId val="160005392"/>
      </c:lineChart>
      <c:catAx>
        <c:axId val="161414608"/>
        <c:scaling>
          <c:orientation val="minMax"/>
        </c:scaling>
        <c:delete val="0"/>
        <c:axPos val="b"/>
        <c:majorGridlines>
          <c:spPr>
            <a:ln>
              <a:solidFill>
                <a:schemeClr val="dk1">
                  <a:lumMod val="15000"/>
                  <a:lumOff val="85000"/>
                </a:schemeClr>
              </a:solidFill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10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0005392"/>
        <c:crosses val="autoZero"/>
        <c:auto val="1"/>
        <c:lblAlgn val="ctr"/>
        <c:lblOffset val="100"/>
        <c:noMultiLvlLbl val="0"/>
      </c:catAx>
      <c:valAx>
        <c:axId val="1600053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pt-BR"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6141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pt-BR"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pt-BR"/>
      </a:pPr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4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1000" kern="120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cs:styleClr val="auto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 w="9575">
        <a:solidFill>
          <a:schemeClr val="lt1">
            <a:lumMod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19050" cap="rnd" cmpd="sng" algn="ctr">
        <a:solidFill>
          <a:schemeClr val="phClr">
            <a:shade val="95000"/>
            <a:satMod val="105000"/>
          </a:schemeClr>
        </a:solidFill>
        <a:round/>
      </a:ln>
    </cs:spPr>
  </cs:dataPointLine>
  <cs:dataPointMarker>
    <cs:lnRef idx="0"/>
    <cs:fillRef idx="0"/>
    <cs:effectRef idx="0"/>
    <cs:fontRef idx="minor">
      <a:schemeClr val="dk1"/>
    </cs:fontRef>
    <cs:spPr>
      <a:solidFill>
        <a:schemeClr val="lt1"/>
      </a:solidFill>
    </cs:spPr>
  </cs:dataPointMarker>
  <cs:dataPointMarkerLayout symbol="circle" size="17"/>
  <cs:dataPointWireframe>
    <cs:lnRef idx="0">
      <cs:styleClr val="auto"/>
    </cs:lnRef>
    <cs:fillRef idx="1"/>
    <cs:effectRef idx="0"/>
    <cs:fontRef idx="minor">
      <a:schemeClr val="dk1"/>
    </cs:fontRef>
    <cs:spPr>
      <a:ln w="9525">
        <a:solidFill>
          <a:schemeClr val="phClr"/>
        </a:solidFill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>
        <a:solidFill>
          <a:schemeClr val="dk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dk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dk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dk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dk1"/>
    </cs:fontRef>
    <cs:defRPr sz="1440" b="0" kern="1200" cap="all" spc="0" baseline="0">
      <a:gradFill>
        <a:gsLst>
          <a:gs pos="0">
            <a:schemeClr val="dk1">
              <a:lumMod val="50000"/>
              <a:lumOff val="50000"/>
            </a:schemeClr>
          </a:gs>
          <a:gs pos="100000">
            <a:schemeClr val="dk1">
              <a:lumMod val="85000"/>
              <a:lumOff val="15000"/>
            </a:schemeClr>
          </a:gs>
        </a:gsLst>
        <a:lin ang="5400000" scaled="0"/>
      </a:gradFill>
    </cs:defRPr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9</xdr:col>
      <xdr:colOff>76200</xdr:colOff>
      <xdr:row>0</xdr:row>
      <xdr:rowOff>9525</xdr:rowOff>
    </xdr:from>
    <xdr:to>
      <xdr:col>15</xdr:col>
      <xdr:colOff>419099</xdr:colOff>
      <xdr:row>12</xdr:row>
      <xdr:rowOff>47625</xdr:rowOff>
    </xdr:to>
    <xdr:graphicFrame>
      <xdr:nvGraphicFramePr>
        <xdr:cNvPr id="3" name="Gráfico 2"/>
        <xdr:cNvGraphicFramePr/>
      </xdr:nvGraphicFramePr>
      <xdr:xfrm>
        <a:off x="8025130" y="9525"/>
        <a:ext cx="4045585" cy="223266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133349</xdr:colOff>
      <xdr:row>0</xdr:row>
      <xdr:rowOff>76200</xdr:rowOff>
    </xdr:from>
    <xdr:to>
      <xdr:col>13</xdr:col>
      <xdr:colOff>523874</xdr:colOff>
      <xdr:row>31</xdr:row>
      <xdr:rowOff>114300</xdr:rowOff>
    </xdr:to>
    <xdr:graphicFrame>
      <xdr:nvGraphicFramePr>
        <xdr:cNvPr id="2" name="Gráfico 1"/>
        <xdr:cNvGraphicFramePr/>
      </xdr:nvGraphicFramePr>
      <xdr:xfrm>
        <a:off x="132715" y="76200"/>
        <a:ext cx="8414385" cy="570738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I14"/>
  <sheetViews>
    <sheetView showGridLines="0" tabSelected="1" workbookViewId="0">
      <selection activeCell="E11" sqref="E11"/>
    </sheetView>
  </sheetViews>
  <sheetFormatPr defaultColWidth="9" defaultRowHeight="14.4"/>
  <cols>
    <col min="1" max="1" width="16.8888888888889" customWidth="1"/>
    <col min="2" max="2" width="13.5740740740741" customWidth="1"/>
    <col min="3" max="3" width="12.8888888888889"/>
    <col min="4" max="4" width="12" customWidth="1"/>
    <col min="5" max="8" width="12.8888888888889"/>
  </cols>
  <sheetData>
    <row r="1" spans="2:9">
      <c r="B1" s="1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</row>
    <row r="2" spans="1:9">
      <c r="A2" s="3" t="s">
        <v>8</v>
      </c>
      <c r="B2" s="4">
        <v>40</v>
      </c>
      <c r="C2" s="5">
        <v>0</v>
      </c>
      <c r="D2" s="5">
        <v>0</v>
      </c>
      <c r="E2" s="5">
        <v>0</v>
      </c>
      <c r="F2" s="5">
        <v>0</v>
      </c>
      <c r="G2" s="5">
        <v>0</v>
      </c>
      <c r="H2" s="5">
        <v>0</v>
      </c>
      <c r="I2" s="5">
        <v>0</v>
      </c>
    </row>
    <row r="3" spans="1:9">
      <c r="A3" s="6" t="s">
        <v>9</v>
      </c>
      <c r="B3" s="4">
        <v>6.5</v>
      </c>
      <c r="C3" s="5">
        <v>6</v>
      </c>
      <c r="D3" s="5">
        <v>0.5</v>
      </c>
      <c r="E3" s="5">
        <v>0</v>
      </c>
      <c r="F3" s="5">
        <v>0</v>
      </c>
      <c r="G3" s="5">
        <v>0</v>
      </c>
      <c r="H3" s="5">
        <v>0</v>
      </c>
      <c r="I3" s="5">
        <v>0</v>
      </c>
    </row>
    <row r="4" spans="1:9">
      <c r="A4" s="6" t="s">
        <v>10</v>
      </c>
      <c r="B4" s="4">
        <v>66</v>
      </c>
      <c r="C4" s="7">
        <v>0</v>
      </c>
      <c r="D4" s="7">
        <v>0</v>
      </c>
      <c r="E4" s="7">
        <v>0</v>
      </c>
      <c r="F4" s="7">
        <v>0</v>
      </c>
      <c r="G4" s="7">
        <v>0</v>
      </c>
      <c r="H4" s="7">
        <v>0</v>
      </c>
      <c r="I4" s="7">
        <v>0</v>
      </c>
    </row>
    <row r="5" spans="1:9">
      <c r="A5" s="6" t="s">
        <v>11</v>
      </c>
      <c r="B5" s="4">
        <v>10</v>
      </c>
      <c r="C5" s="7">
        <v>0</v>
      </c>
      <c r="D5" s="7">
        <v>0</v>
      </c>
      <c r="E5" s="7">
        <v>0</v>
      </c>
      <c r="F5" s="7">
        <v>0</v>
      </c>
      <c r="G5" s="7">
        <v>10</v>
      </c>
      <c r="H5" s="7">
        <v>0</v>
      </c>
      <c r="I5" s="7">
        <v>0</v>
      </c>
    </row>
    <row r="6" spans="1:9">
      <c r="A6" s="6" t="s">
        <v>12</v>
      </c>
      <c r="B6" s="8">
        <v>10</v>
      </c>
      <c r="C6" s="7">
        <v>0</v>
      </c>
      <c r="D6" s="7">
        <v>0</v>
      </c>
      <c r="E6" s="7">
        <v>0</v>
      </c>
      <c r="F6" s="7">
        <v>0</v>
      </c>
      <c r="G6" s="7">
        <v>0</v>
      </c>
      <c r="H6" s="7">
        <v>0</v>
      </c>
      <c r="I6" s="7">
        <v>0</v>
      </c>
    </row>
    <row r="7" spans="1:9">
      <c r="A7" s="6" t="s">
        <v>13</v>
      </c>
      <c r="B7" s="8">
        <v>30</v>
      </c>
      <c r="C7" s="7">
        <v>0</v>
      </c>
      <c r="D7" s="7">
        <v>0</v>
      </c>
      <c r="E7" s="7">
        <v>0</v>
      </c>
      <c r="F7" s="7">
        <v>0</v>
      </c>
      <c r="G7" s="7">
        <v>0</v>
      </c>
      <c r="H7" s="7">
        <v>0</v>
      </c>
      <c r="I7" s="7">
        <v>0</v>
      </c>
    </row>
    <row r="8" spans="1:9">
      <c r="A8" s="6" t="s">
        <v>14</v>
      </c>
      <c r="B8" s="8">
        <v>40</v>
      </c>
      <c r="C8" s="7">
        <v>0</v>
      </c>
      <c r="D8" s="7">
        <v>0</v>
      </c>
      <c r="E8" s="7">
        <v>0</v>
      </c>
      <c r="F8" s="7">
        <v>0</v>
      </c>
      <c r="G8" s="7">
        <v>0</v>
      </c>
      <c r="H8" s="7">
        <v>0</v>
      </c>
      <c r="I8" s="7">
        <v>0</v>
      </c>
    </row>
    <row r="9" spans="1:9">
      <c r="A9" s="6" t="s">
        <v>15</v>
      </c>
      <c r="B9" s="8">
        <v>0</v>
      </c>
      <c r="C9" s="7">
        <v>0</v>
      </c>
      <c r="D9" s="7">
        <v>0</v>
      </c>
      <c r="E9" s="7">
        <v>0</v>
      </c>
      <c r="F9" s="7">
        <v>0</v>
      </c>
      <c r="G9" s="7">
        <v>0</v>
      </c>
      <c r="H9" s="7">
        <v>0</v>
      </c>
      <c r="I9" s="7">
        <v>0</v>
      </c>
    </row>
    <row r="10" spans="1:9">
      <c r="A10" s="6" t="s">
        <v>16</v>
      </c>
      <c r="B10" s="8">
        <v>0</v>
      </c>
      <c r="C10" s="7">
        <v>0</v>
      </c>
      <c r="D10" s="7">
        <v>0</v>
      </c>
      <c r="E10" s="7">
        <v>0</v>
      </c>
      <c r="F10" s="7">
        <v>0</v>
      </c>
      <c r="G10" s="7">
        <v>0</v>
      </c>
      <c r="H10" s="7">
        <v>0</v>
      </c>
      <c r="I10" s="7">
        <v>0</v>
      </c>
    </row>
    <row r="11" spans="1:9">
      <c r="A11" s="9" t="s">
        <v>17</v>
      </c>
      <c r="B11" s="10">
        <f>SUM($B$2:$B$10)</f>
        <v>202.5</v>
      </c>
      <c r="C11" s="10">
        <f t="shared" ref="C11:I11" si="0">IF(SUM(C2:C10)&gt;0,B11-SUM(C2:C10),"")</f>
        <v>196.5</v>
      </c>
      <c r="D11" s="10">
        <f t="shared" si="0"/>
        <v>196</v>
      </c>
      <c r="E11" s="10" t="str">
        <f t="shared" si="0"/>
        <v/>
      </c>
      <c r="F11" s="10" t="str">
        <f t="shared" si="0"/>
        <v/>
      </c>
      <c r="G11" s="10" t="e">
        <f t="shared" si="0"/>
        <v>#VALUE!</v>
      </c>
      <c r="H11" s="10" t="str">
        <f t="shared" si="0"/>
        <v/>
      </c>
      <c r="I11" s="10" t="str">
        <f t="shared" si="0"/>
        <v/>
      </c>
    </row>
    <row r="12" spans="1:9">
      <c r="A12" s="9" t="s">
        <v>18</v>
      </c>
      <c r="B12" s="10">
        <f>SUM($B$2:$B$10)</f>
        <v>202.5</v>
      </c>
      <c r="C12" s="10">
        <f t="shared" ref="C12:I12" si="1">B12-($B$12/COUNTA($C$1:$I$1))</f>
        <v>173.571428571429</v>
      </c>
      <c r="D12" s="10">
        <f t="shared" si="1"/>
        <v>144.642857142857</v>
      </c>
      <c r="E12" s="10">
        <f t="shared" si="1"/>
        <v>115.714285714286</v>
      </c>
      <c r="F12" s="10">
        <f t="shared" si="1"/>
        <v>86.7857142857143</v>
      </c>
      <c r="G12" s="10">
        <f t="shared" si="1"/>
        <v>57.8571428571429</v>
      </c>
      <c r="H12" s="10">
        <f t="shared" si="1"/>
        <v>28.9285714285714</v>
      </c>
      <c r="I12" s="10">
        <f t="shared" si="1"/>
        <v>0</v>
      </c>
    </row>
    <row r="14" spans="4:4">
      <c r="D14" t="str">
        <f ca="1">OFFSET($C$11:C11,0,COUNTA(D11:I11),1,1)</f>
        <v/>
      </c>
    </row>
  </sheetData>
  <pageMargins left="0.511805555555556" right="0.511805555555556" top="0.786805555555556" bottom="0.786805555555556" header="0.313888888888889" footer="0.313888888888889"/>
  <pageSetup paperSize="9" orientation="portrait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"/>
  <sheetViews>
    <sheetView showGridLines="0" showRowColHeaders="0" workbookViewId="0">
      <selection activeCell="A1" sqref="A1"/>
    </sheetView>
  </sheetViews>
  <sheetFormatPr defaultColWidth="9" defaultRowHeight="14.4"/>
  <sheetData/>
  <pageMargins left="0.511805555555556" right="0.511805555555556" top="0.786805555555556" bottom="0.786805555555556" header="0.313888888888889" footer="0.313888888888889"/>
  <pageSetup paperSize="9" orientation="landscape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Atividades</vt:lpstr>
      <vt:lpstr>Burndown impressão color</vt:lpstr>
      <vt:lpstr>Burndown impressão pb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Marcos Rieper</dc:creator>
  <cp:lastModifiedBy>Bruno</cp:lastModifiedBy>
  <dcterms:created xsi:type="dcterms:W3CDTF">2016-06-19T15:11:00Z</dcterms:created>
  <cp:lastPrinted>2016-06-19T15:56:00Z</cp:lastPrinted>
  <dcterms:modified xsi:type="dcterms:W3CDTF">2018-06-20T01:03:27Z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1046-10.2.0.6020</vt:lpwstr>
  </property>
</Properties>
</file>